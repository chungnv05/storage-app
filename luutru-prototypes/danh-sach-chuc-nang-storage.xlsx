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Personal\Study\Personal\Viettel\intern\cloud-drive\luutru-prototypes\"/>
    </mc:Choice>
  </mc:AlternateContent>
  <xr:revisionPtr revIDLastSave="0" documentId="13_ncr:1_{81B8DFD0-A95D-4DFF-A2AB-F7CD8476AB5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Người dùng" sheetId="1" r:id="rId1"/>
    <sheet name="Admin" sheetId="2" r:id="rId2"/>
    <sheet name="Kế hoạch 4 tháng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8" i="3" l="1"/>
  <c r="F27" i="3"/>
  <c r="F26" i="3"/>
  <c r="F25" i="3"/>
  <c r="F24" i="3"/>
  <c r="F23" i="3"/>
  <c r="F22" i="3"/>
  <c r="F21" i="3"/>
  <c r="F20" i="3"/>
  <c r="F19" i="3"/>
  <c r="F18" i="3"/>
  <c r="F17" i="3"/>
  <c r="F16" i="3"/>
  <c r="F15" i="3"/>
  <c r="F14" i="3"/>
  <c r="F13" i="3"/>
  <c r="D5" i="3"/>
  <c r="D4" i="3"/>
</calcChain>
</file>

<file path=xl/sharedStrings.xml><?xml version="1.0" encoding="utf-8"?>
<sst xmlns="http://schemas.openxmlformats.org/spreadsheetml/2006/main" count="236" uniqueCount="186">
  <si>
    <t>CHỨC NĂNG CẦN TRIỂN KHAI — NGƯỜI DÙNG</t>
  </si>
  <si>
    <t>STT là thứ tự gợi ý trong từng phân hệ. Trạng thái để trống để cập nhật khi triển khai.</t>
  </si>
  <si>
    <t>Nguồn: yêu cầu trong cuộc trao đổi, gồm bổ sung mã hóa và thư mục nhiều cấp.</t>
  </si>
  <si>
    <t>STT</t>
  </si>
  <si>
    <t>Nhóm chức năng</t>
  </si>
  <si>
    <t>Chức năng</t>
  </si>
  <si>
    <t>Nội dung cần triển khai</t>
  </si>
  <si>
    <t>Trạng thái</t>
  </si>
  <si>
    <t>Ghi chú</t>
  </si>
  <si>
    <t>Giao diện</t>
  </si>
  <si>
    <t>Giao diện responsive</t>
  </si>
  <si>
    <t>Xây dựng giao diện HTML, CSS dùng Bootstrap, phù hợp máy tính và điện thoại.</t>
  </si>
  <si>
    <t>Tài khoản</t>
  </si>
  <si>
    <t>Đăng ký tài khoản</t>
  </si>
  <si>
    <t>Nhập thông tin đăng ký, kiểm tra dữ liệu và trùng tài khoản. Cấp gói Free 3 GB cho tài khoản mới.</t>
  </si>
  <si>
    <t>Đăng nhập</t>
  </si>
  <si>
    <t>Xác thực tài khoản, tạo phiên đăng nhập và từ chối tài khoản bị khóa.</t>
  </si>
  <si>
    <t>Đăng xuất</t>
  </si>
  <si>
    <t>Kết thúc phiên đăng nhập và xóa trạng thái mở khóa tệp/thư mục trong phiên.</t>
  </si>
  <si>
    <t>Xem thông tin cá nhân</t>
  </si>
  <si>
    <t>Hiển thị thông tin hồ sơ và gói dung lượng đang sử dụng.</t>
  </si>
  <si>
    <t>Cập nhật thông tin cá nhân</t>
  </si>
  <si>
    <t>Cho phép sửa thông tin hồ sơ và kiểm tra dữ liệu trước khi lưu.</t>
  </si>
  <si>
    <t>Cập nhật ảnh đại diện</t>
  </si>
  <si>
    <t>Chọn ảnh, kiểm tra định dạng và dung lượng, lưu và hiển thị avatar mới.</t>
  </si>
  <si>
    <t>Đổi mật khẩu tài khoản</t>
  </si>
  <si>
    <t>Kiểm tra mật khẩu hiện tại, nhập mật khẩu mới và xác nhận lại.</t>
  </si>
  <si>
    <t>Gói dung lượng</t>
  </si>
  <si>
    <t>Xem các gói dịch vụ</t>
  </si>
  <si>
    <t>Hiển thị Free 3 GB, Plus 10 GB, Pro 20 GB cùng giá và ưu đãi theo cấu hình admin.</t>
  </si>
  <si>
    <t>Xem dung lượng đã dùng và còn lại</t>
  </si>
  <si>
    <t>Hiển thị gói hiện tại, tổng hạn mức, dung lượng đã sử dụng và dung lượng còn trống.</t>
  </si>
  <si>
    <t>Thư mục</t>
  </si>
  <si>
    <t>Tạo thư mục</t>
  </si>
  <si>
    <t>Tạo thư mục ở thư mục gốc hoặc tại vị trí đang mở, kiểm tra tên hợp lệ.</t>
  </si>
  <si>
    <t>Tạo thư mục con nhiều cấp</t>
  </si>
  <si>
    <t>Lưu quan hệ thư mục cha–con, cho phép tạo và quản lý cấu trúc nhiều cấp.</t>
  </si>
  <si>
    <t>Mở thư mục và xem nội dung</t>
  </si>
  <si>
    <t>Khi bấm thư mục, hiển thị đúng các thư mục con và tệp trực tiếp bên trong thư mục đó.</t>
  </si>
  <si>
    <t>Điều hướng giữa các cấp</t>
  </si>
  <si>
    <t>Hiển thị đường dẫn thư mục và nút lên một cấp để quay về thư mục cha hoặc thư mục gốc.</t>
  </si>
  <si>
    <t>Tệp</t>
  </si>
  <si>
    <t>Tải tệp lên</t>
  </si>
  <si>
    <t>Chọn một hoặc nhiều tệp, tải vào đúng thư mục hiện tại và hiển thị kết quả thành công hoặc lỗi.</t>
  </si>
  <si>
    <t>Kiểm tra hạn mức khi tải lên</t>
  </si>
  <si>
    <t>Kiểm tra dung lượng còn lại trước khi nhận tệp. Từ chối tải vượt hạn mức và cập nhật số đã dùng sau khi lưu.</t>
  </si>
  <si>
    <t>Danh sách và tìm kiếm</t>
  </si>
  <si>
    <t>Tài liệu của tôi</t>
  </si>
  <si>
    <t>Liệt kê tệp và thư mục thuộc sở hữu của tài khoản đang đăng nhập.</t>
  </si>
  <si>
    <t>Tìm kiếm theo tên</t>
  </si>
  <si>
    <t>Tìm file hoặc thư mục theo tên. Chỉ trả kết quả trong phạm vi người dùng được phép truy cập.</t>
  </si>
  <si>
    <t>Thống kê</t>
  </si>
  <si>
    <t>Thống kê theo loại tệp</t>
  </si>
  <si>
    <t>Phân loại tài liệu, video, ảnh và khác. Hiển thị số lượng và dung lượng của từng loại.</t>
  </si>
  <si>
    <t>Chia sẻ</t>
  </si>
  <si>
    <t>Chia sẻ tệp cho tài khoản khác</t>
  </si>
  <si>
    <t>Chọn tài khoản nhận chia sẻ và cấp quyền truy cập tệp cho đúng người nhận.</t>
  </si>
  <si>
    <t>Chia sẻ thư mục cho tài khoản khác</t>
  </si>
  <si>
    <t>Cấp quyền truy cập thư mục và xử lý quyền kế thừa đối với thư mục con, tệp bên trong.</t>
  </si>
  <si>
    <t>Tài liệu chia sẻ với tôi</t>
  </si>
  <si>
    <t>Hiển thị riêng các tệp, thư mục được chia sẻ cho tài khoản hiện tại, kèm thông tin chủ sở hữu.</t>
  </si>
  <si>
    <t>Thông báo</t>
  </si>
  <si>
    <t>Nhận và xem thông báo</t>
  </si>
  <si>
    <t>Tạo thông báo khi được chia sẻ tệp/thư mục. Hiển thị cả thông báo ưu đãi từ admin.</t>
  </si>
  <si>
    <t>Mở nội dung từ thông báo</t>
  </si>
  <si>
    <t>Bấm thông báo để đến đúng tệp hoặc thư mục được chia sẻ. Kiểm tra quyền, trạng thái xóa và mật khẩu.</t>
  </si>
  <si>
    <t>Thùng rác</t>
  </si>
  <si>
    <t>Chuyển tệp/thư mục vào thùng rác</t>
  </si>
  <si>
    <t>Thực hiện xóa mềm, ghi thời điểm xóa và đưa cả nội dung con của thư mục vào thùng rác.</t>
  </si>
  <si>
    <t>Xem thùng rác</t>
  </si>
  <si>
    <t>Liệt kê nội dung đã xóa, ngày xóa và thời gian còn lại trước khi bị xóa vĩnh viễn.</t>
  </si>
  <si>
    <t>Khôi phục nội dung đã xóa</t>
  </si>
  <si>
    <t>Khôi phục tệp/thư mục còn trong thời hạn lưu. Xử lý trường hợp thư mục cha không còn tồn tại.</t>
  </si>
  <si>
    <t>Tự động xóa vĩnh viễn sau 30 ngày</t>
  </si>
  <si>
    <t>Chạy tác vụ nền xóa nội dung đủ 30 ngày trong thùng rác, giải phóng dung lượng và cập nhật dữ liệu liên quan.</t>
  </si>
  <si>
    <t>Mã hóa</t>
  </si>
  <si>
    <t>Đặt mật khẩu và mã hóa tệp</t>
  </si>
  <si>
    <t>Nhập mật khẩu bảo vệ và xác nhận lại. Mã hóa nội dung tệp; không lưu mật khẩu hoặc khóa giải mã dạng rõ.</t>
  </si>
  <si>
    <t>Đặt mật khẩu và mã hóa thư mục</t>
  </si>
  <si>
    <t>Bảo vệ thư mục cùng nội dung con. Tệp tải thêm vào thư mục phải tiếp tục được bảo vệ.</t>
  </si>
  <si>
    <t>Nhập mật khẩu để mở nội dung</t>
  </si>
  <si>
    <t>Yêu cầu đúng mật khẩu trước khi mở hoặc giải mã tệp/thư mục, kể cả người nhận chia sẻ. Báo lỗi nếu sai.</t>
  </si>
  <si>
    <t>Khóa lại nội dung đã mở</t>
  </si>
  <si>
    <t>Cho phép khóa lại tệp/thư mục đã mở trong phiên. Kết thúc phiên phải xóa khóa giải mã khỏi bộ nhớ phiên.</t>
  </si>
  <si>
    <t>Mua gói</t>
  </si>
  <si>
    <t>Mua hoặc nâng cấp gói</t>
  </si>
  <si>
    <t>Chọn Plus hoặc Pro, hiển thị dung lượng, giá và ưu đãi đang áp dụng trước khi xác nhận mua.</t>
  </si>
  <si>
    <t>Ghi nhận thanh toán và kích hoạt gói</t>
  </si>
  <si>
    <t>Ghi nhận kết quả thanh toán, kích hoạt đúng gói và cập nhật dung lượng. Không cộng tiền hoặc kích hoạt trùng giao dịch.</t>
  </si>
  <si>
    <t>CHỨC NĂNG CẦN TRIỂN KHAI — ADMIN</t>
  </si>
  <si>
    <t>Cấu hình gói/khuyến mãi cần hoàn thành trước khi tích hợp luồng mua gói của người dùng.</t>
  </si>
  <si>
    <t>Giao diện admin responsive</t>
  </si>
  <si>
    <t>Truy cập</t>
  </si>
  <si>
    <t>Đăng nhập, đăng xuất và quyền admin</t>
  </si>
  <si>
    <t>Xác thực quản trị viên. Chỉ tài khoản có quyền admin được truy cập các chức năng quản trị.</t>
  </si>
  <si>
    <t>Gói dịch vụ</t>
  </si>
  <si>
    <t>Cấu hình các gói dung lượng</t>
  </si>
  <si>
    <t>Quản lý Free 3 GB, Plus 10 GB và Pro 20 GB. Cấu hình hạn mức và giá sử dụng cho từng gói.</t>
  </si>
  <si>
    <t>Cấu hình gói khuyến mãi</t>
  </si>
  <si>
    <t>Thiết lập ưu đãi, gói áp dụng và thời gian hiệu lực. Người dùng mua gói được áp dụng đúng cấu hình.</t>
  </si>
  <si>
    <t>Người dùng</t>
  </si>
  <si>
    <t>Danh sách người dùng</t>
  </si>
  <si>
    <t>Hiển thị tài khoản, thông tin nhận diện, gói đang dùng và trạng thái hoạt động/khóa.</t>
  </si>
  <si>
    <t>Xem chi tiết người dùng</t>
  </si>
  <si>
    <t>Hiển thị thông tin tài khoản, tổng dung lượng đã dùng, dung lượng còn lại và tổng tiền đã thanh toán.</t>
  </si>
  <si>
    <t>Khóa tài khoản</t>
  </si>
  <si>
    <t>Chuyển tài khoản sang trạng thái khóa và ngăn đăng nhập hoặc tiếp tục truy cập dịch vụ.</t>
  </si>
  <si>
    <t>Mở khóa tài khoản</t>
  </si>
  <si>
    <t>Cho phép tài khoản bị khóa hoạt động trở lại, giữ nguyên dữ liệu và gói đang có.</t>
  </si>
  <si>
    <t>Thống kê người dùng theo gói</t>
  </si>
  <si>
    <t>Tổng hợp số người dùng Free, Plus và Pro từ gói hiện tại của từng tài khoản.</t>
  </si>
  <si>
    <t>Gửi ưu đãi riêng cho người dùng</t>
  </si>
  <si>
    <t>Chọn người nhận, nhập tiêu đề và nội dung ưu đãi, xác nhận rồi gửi thông báo đến đúng tài khoản.</t>
  </si>
  <si>
    <t>Gửi thông báo cho tất cả người dùng</t>
  </si>
  <si>
    <t>Soạn và xác nhận thông báo chung. Phân phối đến tất cả tài khoản, tránh gửi trùng khi xử lý lại.</t>
  </si>
  <si>
    <t>Theo dõi thông báo đã gửi</t>
  </si>
  <si>
    <t>Lưu người nhận/phạm vi gửi, nội dung và thời điểm gửi để quản trị viên tra cứu kết quả gửi.</t>
  </si>
  <si>
    <t>KẾ HOẠCH 4 THÁNG CHO 1 SINH VIÊN</t>
  </si>
  <si>
    <t>Giờ/tuần</t>
  </si>
  <si>
    <t>Tổng quỹ giờ (giờ)</t>
  </si>
  <si>
    <t>Số tuần</t>
  </si>
  <si>
    <t>Đã phân bổ (giờ)</t>
  </si>
  <si>
    <t>Giả định: sinh viên đã biết lập trình web và cơ sở dữ liệu, tận dụng prototype, có người hướng dẫn rà soát hàng tuần.</t>
  </si>
  <si>
    <t>Phạm vi: MVP chạy được ở môi trường thử nghiệm; thanh toán sandbox/mô phỏng. Tích hợp thu tiền thật cần chốt thêm.</t>
  </si>
  <si>
    <t>4 tháng quy đổi thành 16 tuần, chưa gắn ngày bắt đầu. ND/AD là STT ở sheet Người dùng/Admin.</t>
  </si>
  <si>
    <t>Ô vàng Giờ/tuần có thể sửa để tính lại quỹ giờ. Nếu giảm thời gian hoặc phải học từ đầu, cần thu hẹp phạm vi hoặc kéo dài lịch.</t>
  </si>
  <si>
    <t>Tháng</t>
  </si>
  <si>
    <t>Tuần</t>
  </si>
  <si>
    <t>Công việc chính</t>
  </si>
  <si>
    <t>Chức năng liên quan</t>
  </si>
  <si>
    <t>Đầu ra / điều kiện hoàn thành</t>
  </si>
  <si>
    <t>Giờ dự kiến</t>
  </si>
  <si>
    <t>Chốt phạm vi, thiết kế dữ liệu và dựng khung giao diện</t>
  </si>
  <si>
    <t>ND 1; AD 1</t>
  </si>
  <si>
    <t>Có mô hình tài khoản, gói, tệp, thư mục, chia sẻ, thông báo. Chạy được khung user/admin từ prototype.</t>
  </si>
  <si>
    <t>Đăng ký, đăng nhập, đăng xuất và phân quyền</t>
  </si>
  <si>
    <t>ND 2–4; AD 2</t>
  </si>
  <si>
    <t>Tạo tài khoản Free, đăng nhập/đăng xuất được. API quản trị chặn người dùng thường.</t>
  </si>
  <si>
    <t>Hồ sơ, avatar, đổi mật khẩu và danh sách người dùng</t>
  </si>
  <si>
    <t>ND 5–8; AD 5</t>
  </si>
  <si>
    <t>Lưu được hồ sơ và avatar. Đổi mật khẩu có kiểm tra. Admin xem được danh sách tài khoản.</t>
  </si>
  <si>
    <t>Gói dung lượng và cấu hình khuyến mãi</t>
  </si>
  <si>
    <t>ND 9–10; AD 3–4</t>
  </si>
  <si>
    <t>Có Free 3 GB, Plus 10 GB, Pro 20 GB; cấu hình giá/ưu đãi. Hiển thị hạn mức và số đã dùng.</t>
  </si>
  <si>
    <t>Thư mục nhiều cấp và điều hướng</t>
  </si>
  <si>
    <t>ND 11–14</t>
  </si>
  <si>
    <t>Tạo thư mục cha/con; mở đúng nội dung trực tiếp. Breadcrumb và nút lên một cấp hoạt động.</t>
  </si>
  <si>
    <t>Tải tệp lên, lưu trữ và kiểm tra dung lượng</t>
  </si>
  <si>
    <t>ND 15–17</t>
  </si>
  <si>
    <t>Tệp lưu bền vững và gắn đúng chủ sở hữu/thư mục. Từ chối tải vượt hạn mức; danh sách của tôi cập nhật đúng.</t>
  </si>
  <si>
    <t>Tìm kiếm, thống kê loại tệp và chi tiết người dùng</t>
  </si>
  <si>
    <t>ND 18–19; AD 6, 9</t>
  </si>
  <si>
    <t>Tìm theo tên đúng quyền. Thống kê tài liệu/video/ảnh/khác và số người theo gói; tính đúng dung lượng còn lại.</t>
  </si>
  <si>
    <t>Thùng rác, khôi phục và tác vụ xóa sau 30 ngày</t>
  </si>
  <si>
    <t>ND 25–28</t>
  </si>
  <si>
    <t>Xóa mềm và khôi phục đúng cây thư mục. Tác vụ nền dọn bản ghi đủ 30 ngày; kiểm thử bằng dữ liệu thời gian giả lập.</t>
  </si>
  <si>
    <t>Chia sẻ tệp/thư mục và quyền kế thừa</t>
  </si>
  <si>
    <t>ND 20–22</t>
  </si>
  <si>
    <t>Hai tài khoản chia sẻ được tệp/thư mục; nội dung con kế thừa quyền. Nhóm chia sẻ với tôi hiển thị chính xác.</t>
  </si>
  <si>
    <t>Thông báo chia sẻ và gửi ưu đãi từ admin</t>
  </si>
  <si>
    <t>ND 23–24; AD 10–12</t>
  </si>
  <si>
    <t>Người nhận thấy thông báo; bấm mở đúng nội dung. Admin gửi riêng/toàn bộ và tra cứu kết quả gửi.</t>
  </si>
  <si>
    <t>Mật khẩu và mã hóa nội dung tệp</t>
  </si>
  <si>
    <t>ND 29, 31</t>
  </si>
  <si>
    <t>Tệp tải lên được mã hóa. Đúng mật khẩu mở được nội dung; sai mật khẩu bị từ chối. Rà soát với người hướng dẫn.</t>
  </si>
  <si>
    <t>Mã hóa thư mục, kế thừa và khóa lại</t>
  </si>
  <si>
    <t>ND 30–32</t>
  </si>
  <si>
    <t>Bảo vệ cả nội dung con và tệp tải thêm. Người được chia sẻ phải nhập mật khẩu; kết thúc phiên xóa khóa giải mã.</t>
  </si>
  <si>
    <t>Mua gói và ghi nhận thanh toán</t>
  </si>
  <si>
    <t>ND 33–34; AD 6</t>
  </si>
  <si>
    <t>Hoàn tất luồng thanh toán sandbox/mô phỏng. Cập nhật hạn mức, tổng tiền; xử lý thất bại và sự kiện trùng.</t>
  </si>
  <si>
    <t>Khóa/mở khóa tài khoản và hoàn thiện tích hợp</t>
  </si>
  <si>
    <t>AD 7–8; ND 1; AD 1</t>
  </si>
  <si>
    <t>Khóa tài khoản có hiệu lực với phiên đang dùng. Kiểm tra responsive trên điện thoại và luồng user/admin liên thông.</t>
  </si>
  <si>
    <t>Kiểm thử toàn bộ và sửa lỗi quan trọng</t>
  </si>
  <si>
    <t>ND 1–34; AD 1–12</t>
  </si>
  <si>
    <t>Chạy kịch bản nhiều tài khoản: quyền truy cập, vượt quota, thùng rác, mã hóa, thông báo và thanh toán. Chốt lỗi cần sửa.</t>
  </si>
  <si>
    <t>Dự phòng sửa lỗi, triển khai thử và bàn giao</t>
  </si>
  <si>
    <t>Ưu tiên 12 giờ dự phòng sửa lỗi, 8 giờ triển khai thử và viết hướng dẫn. Demo và bàn giao mã nguồn, dữ liệu mẫu, danh sách hạn chế.</t>
  </si>
  <si>
    <t>Mốc nghiệm thu: cuối tháng 1 có tài khoản/gói; tháng 2 có lưu trữ; tháng 3 có chia sẻ/mã hóa; tháng 4 hoàn thiện MVP.</t>
  </si>
  <si>
    <t>Tuần 15–16 dành 40 giờ cho kiểm thử, sửa lỗi và bàn giao; trong đó tuần 16 có 12 giờ dự phòng ở mức 20 giờ/tuần.</t>
  </si>
  <si>
    <t>Phần dễ trễ: quyền thư mục, mã hóa nhiều cấp và thanh toán. Rà soát cuối mỗi tuần; ưu tiên chức năng cốt lõi trước phần nâng cao.</t>
  </si>
  <si>
    <t>Chờ kiểm thử</t>
  </si>
  <si>
    <t>Đang thực hiện</t>
  </si>
  <si>
    <t>Hoàn thành</t>
  </si>
  <si>
    <t>Chưa bắt đầu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</si>
</sst>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rlito"/>
    </font>
    <font>
      <sz val="11"/>
      <color rgb="FF20324A"/>
      <name val="Arial"/>
    </font>
    <font>
      <b/>
      <sz val="16"/>
      <color rgb="FF1D4ED8"/>
      <name val="Arial"/>
    </font>
    <font>
      <i/>
      <sz val="11"/>
      <color rgb="FF64748B"/>
      <name val="Arial"/>
    </font>
    <font>
      <b/>
      <sz val="11"/>
      <color rgb="FFFFFFFF"/>
      <name val="Arial"/>
    </font>
    <font>
      <b/>
      <sz val="16"/>
      <color rgb="FF334155"/>
      <name val="Arial"/>
    </font>
  </fonts>
  <fills count="11">
    <fill>
      <patternFill patternType="none"/>
    </fill>
    <fill>
      <patternFill patternType="gray125"/>
    </fill>
    <fill>
      <patternFill patternType="solid">
        <fgColor rgb="FFF1F5FB"/>
      </patternFill>
    </fill>
    <fill>
      <patternFill patternType="solid">
        <fgColor rgb="FFFFFFFF"/>
      </patternFill>
    </fill>
    <fill>
      <patternFill patternType="solid">
        <fgColor rgb="FF1D4ED8"/>
      </patternFill>
    </fill>
    <fill>
      <patternFill patternType="solid">
        <fgColor rgb="FFFFFBEB"/>
      </patternFill>
    </fill>
    <fill>
      <patternFill patternType="solid">
        <fgColor rgb="FF334155"/>
      </patternFill>
    </fill>
    <fill>
      <patternFill patternType="solid">
        <fgColor rgb="FFFFFBEB"/>
      </patternFill>
    </fill>
    <fill>
      <patternFill patternType="solid">
        <fgColor rgb="FFF1F5FB"/>
      </patternFill>
    </fill>
    <fill>
      <patternFill patternType="solid">
        <fgColor rgb="FFFFFFFF"/>
      </patternFill>
    </fill>
    <fill>
      <patternFill patternType="solid">
        <fgColor rgb="FF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1" fillId="2" borderId="0" xfId="0" applyFont="1" applyFill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4" fillId="4" borderId="0" xfId="0" applyFont="1" applyFill="1" applyAlignment="1">
      <alignment horizontal="center" vertical="center"/>
    </xf>
    <xf numFmtId="1" fontId="1" fillId="2" borderId="0" xfId="0" applyNumberFormat="1" applyFont="1" applyFill="1" applyAlignment="1">
      <alignment horizontal="center" vertical="center"/>
    </xf>
    <xf numFmtId="1" fontId="1" fillId="3" borderId="0" xfId="0" applyNumberFormat="1" applyFont="1" applyFill="1" applyAlignment="1">
      <alignment horizontal="center" vertical="center"/>
    </xf>
    <xf numFmtId="0" fontId="1" fillId="5" borderId="0" xfId="0" applyFont="1" applyFill="1" applyAlignment="1">
      <alignment vertical="center" wrapText="1"/>
    </xf>
    <xf numFmtId="0" fontId="5" fillId="0" borderId="0" xfId="0" applyFont="1"/>
    <xf numFmtId="0" fontId="4" fillId="6" borderId="0" xfId="0" applyFont="1" applyFill="1" applyAlignment="1">
      <alignment horizontal="center" vertical="center"/>
    </xf>
    <xf numFmtId="1" fontId="1" fillId="7" borderId="0" xfId="0" applyNumberFormat="1" applyFont="1" applyFill="1"/>
    <xf numFmtId="1" fontId="1" fillId="0" borderId="0" xfId="0" applyNumberFormat="1" applyFont="1"/>
    <xf numFmtId="0" fontId="1" fillId="8" borderId="0" xfId="0" applyFont="1" applyFill="1" applyAlignment="1">
      <alignment vertical="center" wrapText="1"/>
    </xf>
    <xf numFmtId="0" fontId="1" fillId="9" borderId="0" xfId="0" applyFont="1" applyFill="1" applyAlignment="1">
      <alignment vertical="center" wrapText="1"/>
    </xf>
    <xf numFmtId="0" fontId="4" fillId="10" borderId="0" xfId="0" applyFont="1" applyFill="1" applyAlignment="1">
      <alignment horizontal="center" vertical="center" wrapText="1"/>
    </xf>
    <xf numFmtId="0" fontId="1" fillId="8" borderId="0" xfId="0" applyFont="1" applyFill="1" applyAlignment="1">
      <alignment horizontal="center" vertical="center"/>
    </xf>
    <xf numFmtId="0" fontId="1" fillId="9" borderId="0" xfId="0" applyFont="1" applyFill="1" applyAlignment="1">
      <alignment horizontal="center" vertical="center"/>
    </xf>
    <xf numFmtId="1" fontId="1" fillId="8" borderId="0" xfId="0" applyNumberFormat="1" applyFont="1" applyFill="1" applyAlignment="1">
      <alignment vertical="center"/>
    </xf>
    <xf numFmtId="1" fontId="1" fillId="9" borderId="0" xfId="0" applyNumberFormat="1" applyFont="1" applyFill="1" applyAlignment="1">
      <alignment vertical="center"/>
    </xf>
    <xf numFmtId="0" fontId="1" fillId="7" borderId="0" xfId="0" applyFont="1" applyFill="1" applyAlignment="1">
      <alignment vertical="center" wrapText="1"/>
    </xf>
  </cellXfs>
  <cellStyles count="1">
    <cellStyle name="Normal" xfId="0" builtinId="0"/>
  </cellStyles>
  <dxfs count="3">
    <dxf>
      <font>
        <color rgb="FF166534"/>
      </font>
      <fill>
        <patternFill patternType="solid">
          <bgColor rgb="FFDCFCE7"/>
        </patternFill>
      </fill>
    </dxf>
    <dxf>
      <font>
        <color rgb="FF166534"/>
      </font>
      <fill>
        <patternFill>
          <bgColor rgb="FFDCFCE7"/>
        </patternFill>
      </fill>
    </dxf>
    <dxf>
      <font>
        <color rgb="FF166534"/>
      </font>
      <fill>
        <patternFill>
          <bgColor rgb="FFDCFCE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UserFunctions" displayName="UserFunctions" ref="A6:F40" totalsRowShown="0">
  <tableColumns count="6">
    <tableColumn id="1" xr3:uid="{00000000-0010-0000-0000-000001000000}" name="STT"/>
    <tableColumn id="2" xr3:uid="{00000000-0010-0000-0000-000002000000}" name="Nhóm chức năng"/>
    <tableColumn id="3" xr3:uid="{00000000-0010-0000-0000-000003000000}" name="Chức năng"/>
    <tableColumn id="4" xr3:uid="{00000000-0010-0000-0000-000004000000}" name="Nội dung cần triển khai"/>
    <tableColumn id="5" xr3:uid="{00000000-0010-0000-0000-000005000000}" name="Trạng thái"/>
    <tableColumn id="6" xr3:uid="{00000000-0010-0000-0000-000006000000}" name="Ghi chú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AdminFunctions" displayName="AdminFunctions" ref="A6:F18" totalsRowShown="0">
  <tableColumns count="6">
    <tableColumn id="1" xr3:uid="{00000000-0010-0000-0100-000001000000}" name="STT"/>
    <tableColumn id="2" xr3:uid="{00000000-0010-0000-0100-000002000000}" name="Nhóm chức năng"/>
    <tableColumn id="3" xr3:uid="{00000000-0010-0000-0100-000003000000}" name="Chức năng"/>
    <tableColumn id="4" xr3:uid="{00000000-0010-0000-0100-000004000000}" name="Nội dung cần triển khai"/>
    <tableColumn id="5" xr3:uid="{00000000-0010-0000-0100-000005000000}" name="Trạng thái"/>
    <tableColumn id="6" xr3:uid="{00000000-0010-0000-0100-000006000000}" name="Ghi chú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StudentFourMonthPlan" displayName="StudentFourMonthPlan" ref="A12:G28" totalsRowShown="0">
  <tableColumns count="7">
    <tableColumn id="1" xr3:uid="{00000000-0010-0000-0200-000001000000}" name="Tháng"/>
    <tableColumn id="2" xr3:uid="{00000000-0010-0000-0200-000002000000}" name="Tuần"/>
    <tableColumn id="3" xr3:uid="{00000000-0010-0000-0200-000003000000}" name="Công việc chính"/>
    <tableColumn id="4" xr3:uid="{00000000-0010-0000-0200-000004000000}" name="Chức năng liên quan"/>
    <tableColumn id="5" xr3:uid="{00000000-0010-0000-0200-000005000000}" name="Đầu ra / điều kiện hoàn thành"/>
    <tableColumn id="6" xr3:uid="{00000000-0010-0000-0200-000006000000}" name="Giờ dự kiến"/>
    <tableColumn id="7" xr3:uid="{00000000-0010-0000-0200-000007000000}" name="Trạng thái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D4ED8"/>
  </sheetPr>
  <dimension ref="A1:F40"/>
  <sheetViews>
    <sheetView showGridLines="0" tabSelected="1" zoomScale="52" zoomScaleNormal="52" workbookViewId="0">
      <pane ySplit="6" topLeftCell="A11" activePane="bottomLeft" state="frozen"/>
      <selection pane="bottomLeft" activeCell="E12" sqref="E12"/>
    </sheetView>
  </sheetViews>
  <sheetFormatPr defaultRowHeight="14"/>
  <cols>
    <col min="1" max="1" width="7" customWidth="1"/>
    <col min="2" max="2" width="23" customWidth="1"/>
    <col min="3" max="3" width="36" customWidth="1"/>
    <col min="4" max="4" width="79" customWidth="1"/>
    <col min="5" max="5" width="23" customWidth="1"/>
    <col min="6" max="6" width="30" customWidth="1"/>
  </cols>
  <sheetData>
    <row r="1" spans="1:6">
      <c r="A1" s="1"/>
      <c r="B1" s="1"/>
      <c r="C1" s="1"/>
      <c r="D1" s="1"/>
      <c r="E1" s="1"/>
      <c r="F1" s="1"/>
    </row>
    <row r="2" spans="1:6" ht="30" customHeight="1">
      <c r="A2" s="2" t="s">
        <v>0</v>
      </c>
      <c r="B2" s="1"/>
      <c r="C2" s="1"/>
      <c r="D2" s="1"/>
      <c r="E2" s="1"/>
      <c r="F2" s="1"/>
    </row>
    <row r="3" spans="1:6" ht="23" customHeight="1">
      <c r="A3" s="3" t="s">
        <v>1</v>
      </c>
      <c r="B3" s="3"/>
      <c r="C3" s="3"/>
      <c r="D3" s="3"/>
      <c r="E3" s="3"/>
      <c r="F3" s="3"/>
    </row>
    <row r="4" spans="1:6" ht="23" customHeight="1">
      <c r="A4" s="3" t="s">
        <v>2</v>
      </c>
      <c r="B4" s="3"/>
      <c r="C4" s="3"/>
      <c r="D4" s="3"/>
      <c r="E4" s="3"/>
      <c r="F4" s="3"/>
    </row>
    <row r="5" spans="1:6">
      <c r="A5" s="1"/>
      <c r="B5" s="1"/>
      <c r="C5" s="1"/>
      <c r="D5" s="1"/>
      <c r="E5" s="1"/>
      <c r="F5" s="1"/>
    </row>
    <row r="6" spans="1:6" ht="31" customHeight="1">
      <c r="A6" s="6" t="s">
        <v>3</v>
      </c>
      <c r="B6" s="6" t="s">
        <v>4</v>
      </c>
      <c r="C6" s="6" t="s">
        <v>5</v>
      </c>
      <c r="D6" s="6" t="s">
        <v>6</v>
      </c>
      <c r="E6" s="6" t="s">
        <v>7</v>
      </c>
      <c r="F6" s="6" t="s">
        <v>8</v>
      </c>
    </row>
    <row r="7" spans="1:6" ht="55" customHeight="1">
      <c r="A7" s="7">
        <v>1</v>
      </c>
      <c r="B7" s="4" t="s">
        <v>9</v>
      </c>
      <c r="C7" s="4" t="s">
        <v>10</v>
      </c>
      <c r="D7" s="4" t="s">
        <v>11</v>
      </c>
      <c r="E7" s="9" t="s">
        <v>183</v>
      </c>
      <c r="F7" s="9"/>
    </row>
    <row r="8" spans="1:6" ht="55" customHeight="1">
      <c r="A8" s="8">
        <v>2</v>
      </c>
      <c r="B8" s="5" t="s">
        <v>12</v>
      </c>
      <c r="C8" s="5" t="s">
        <v>13</v>
      </c>
      <c r="D8" s="5" t="s">
        <v>14</v>
      </c>
      <c r="E8" s="9" t="s">
        <v>182</v>
      </c>
      <c r="F8" s="9"/>
    </row>
    <row r="9" spans="1:6" ht="55" customHeight="1">
      <c r="A9" s="7">
        <v>3</v>
      </c>
      <c r="B9" s="4" t="s">
        <v>12</v>
      </c>
      <c r="C9" s="4" t="s">
        <v>15</v>
      </c>
      <c r="D9" s="4" t="s">
        <v>16</v>
      </c>
      <c r="E9" s="9" t="s">
        <v>184</v>
      </c>
      <c r="F9" s="9"/>
    </row>
    <row r="10" spans="1:6" ht="55" customHeight="1">
      <c r="A10" s="8">
        <v>4</v>
      </c>
      <c r="B10" s="5" t="s">
        <v>12</v>
      </c>
      <c r="C10" s="5" t="s">
        <v>17</v>
      </c>
      <c r="D10" s="5" t="s">
        <v>18</v>
      </c>
      <c r="E10" s="9" t="s">
        <v>184</v>
      </c>
      <c r="F10" s="9"/>
    </row>
    <row r="11" spans="1:6" ht="55" customHeight="1">
      <c r="A11" s="7">
        <v>5</v>
      </c>
      <c r="B11" s="4" t="s">
        <v>12</v>
      </c>
      <c r="C11" s="4" t="s">
        <v>19</v>
      </c>
      <c r="D11" s="4" t="s">
        <v>20</v>
      </c>
      <c r="E11" s="9" t="s">
        <v>184</v>
      </c>
      <c r="F11" s="9"/>
    </row>
    <row r="12" spans="1:6" ht="55" customHeight="1">
      <c r="A12" s="8">
        <v>6</v>
      </c>
      <c r="B12" s="5" t="s">
        <v>12</v>
      </c>
      <c r="C12" s="5" t="s">
        <v>21</v>
      </c>
      <c r="D12" s="5" t="s">
        <v>22</v>
      </c>
      <c r="E12" s="9" t="s">
        <v>182</v>
      </c>
      <c r="F12" s="9"/>
    </row>
    <row r="13" spans="1:6" ht="55" customHeight="1">
      <c r="A13" s="7">
        <v>7</v>
      </c>
      <c r="B13" s="4" t="s">
        <v>12</v>
      </c>
      <c r="C13" s="4" t="s">
        <v>23</v>
      </c>
      <c r="D13" s="4" t="s">
        <v>24</v>
      </c>
      <c r="E13" s="9" t="s">
        <v>185</v>
      </c>
      <c r="F13" s="9"/>
    </row>
    <row r="14" spans="1:6" ht="55" customHeight="1">
      <c r="A14" s="8">
        <v>8</v>
      </c>
      <c r="B14" s="5" t="s">
        <v>12</v>
      </c>
      <c r="C14" s="5" t="s">
        <v>25</v>
      </c>
      <c r="D14" s="5" t="s">
        <v>26</v>
      </c>
      <c r="E14" s="9"/>
      <c r="F14" s="9"/>
    </row>
    <row r="15" spans="1:6" ht="55" customHeight="1">
      <c r="A15" s="7">
        <v>9</v>
      </c>
      <c r="B15" s="4" t="s">
        <v>27</v>
      </c>
      <c r="C15" s="4" t="s">
        <v>28</v>
      </c>
      <c r="D15" s="4" t="s">
        <v>29</v>
      </c>
      <c r="E15" s="9"/>
      <c r="F15" s="9"/>
    </row>
    <row r="16" spans="1:6" ht="55" customHeight="1">
      <c r="A16" s="8">
        <v>10</v>
      </c>
      <c r="B16" s="5" t="s">
        <v>27</v>
      </c>
      <c r="C16" s="5" t="s">
        <v>30</v>
      </c>
      <c r="D16" s="5" t="s">
        <v>31</v>
      </c>
      <c r="E16" s="9"/>
      <c r="F16" s="9"/>
    </row>
    <row r="17" spans="1:6" ht="55" customHeight="1">
      <c r="A17" s="7">
        <v>11</v>
      </c>
      <c r="B17" s="4" t="s">
        <v>32</v>
      </c>
      <c r="C17" s="4" t="s">
        <v>33</v>
      </c>
      <c r="D17" s="4" t="s">
        <v>34</v>
      </c>
      <c r="E17" s="9"/>
      <c r="F17" s="9"/>
    </row>
    <row r="18" spans="1:6" ht="55" customHeight="1">
      <c r="A18" s="8">
        <v>12</v>
      </c>
      <c r="B18" s="5" t="s">
        <v>32</v>
      </c>
      <c r="C18" s="5" t="s">
        <v>35</v>
      </c>
      <c r="D18" s="5" t="s">
        <v>36</v>
      </c>
      <c r="E18" s="9"/>
      <c r="F18" s="9"/>
    </row>
    <row r="19" spans="1:6" ht="55" customHeight="1">
      <c r="A19" s="7">
        <v>13</v>
      </c>
      <c r="B19" s="4" t="s">
        <v>32</v>
      </c>
      <c r="C19" s="4" t="s">
        <v>37</v>
      </c>
      <c r="D19" s="4" t="s">
        <v>38</v>
      </c>
      <c r="E19" s="9"/>
      <c r="F19" s="9"/>
    </row>
    <row r="20" spans="1:6" ht="55" customHeight="1">
      <c r="A20" s="8">
        <v>14</v>
      </c>
      <c r="B20" s="5" t="s">
        <v>32</v>
      </c>
      <c r="C20" s="5" t="s">
        <v>39</v>
      </c>
      <c r="D20" s="5" t="s">
        <v>40</v>
      </c>
      <c r="E20" s="9"/>
      <c r="F20" s="9"/>
    </row>
    <row r="21" spans="1:6" ht="55" customHeight="1">
      <c r="A21" s="7">
        <v>15</v>
      </c>
      <c r="B21" s="4" t="s">
        <v>41</v>
      </c>
      <c r="C21" s="4" t="s">
        <v>42</v>
      </c>
      <c r="D21" s="4" t="s">
        <v>43</v>
      </c>
      <c r="E21" s="9"/>
      <c r="F21" s="9"/>
    </row>
    <row r="22" spans="1:6" ht="55" customHeight="1">
      <c r="A22" s="8">
        <v>16</v>
      </c>
      <c r="B22" s="5" t="s">
        <v>41</v>
      </c>
      <c r="C22" s="5" t="s">
        <v>44</v>
      </c>
      <c r="D22" s="5" t="s">
        <v>45</v>
      </c>
      <c r="E22" s="9"/>
      <c r="F22" s="9"/>
    </row>
    <row r="23" spans="1:6" ht="55" customHeight="1">
      <c r="A23" s="7">
        <v>17</v>
      </c>
      <c r="B23" s="4" t="s">
        <v>46</v>
      </c>
      <c r="C23" s="4" t="s">
        <v>47</v>
      </c>
      <c r="D23" s="4" t="s">
        <v>48</v>
      </c>
      <c r="E23" s="9"/>
      <c r="F23" s="9"/>
    </row>
    <row r="24" spans="1:6" ht="55" customHeight="1">
      <c r="A24" s="8">
        <v>18</v>
      </c>
      <c r="B24" s="5" t="s">
        <v>46</v>
      </c>
      <c r="C24" s="5" t="s">
        <v>49</v>
      </c>
      <c r="D24" s="5" t="s">
        <v>50</v>
      </c>
      <c r="E24" s="9"/>
      <c r="F24" s="9"/>
    </row>
    <row r="25" spans="1:6" ht="55" customHeight="1">
      <c r="A25" s="7">
        <v>19</v>
      </c>
      <c r="B25" s="4" t="s">
        <v>51</v>
      </c>
      <c r="C25" s="4" t="s">
        <v>52</v>
      </c>
      <c r="D25" s="4" t="s">
        <v>53</v>
      </c>
      <c r="E25" s="9"/>
      <c r="F25" s="9"/>
    </row>
    <row r="26" spans="1:6" ht="55" customHeight="1">
      <c r="A26" s="8">
        <v>20</v>
      </c>
      <c r="B26" s="5" t="s">
        <v>54</v>
      </c>
      <c r="C26" s="5" t="s">
        <v>55</v>
      </c>
      <c r="D26" s="5" t="s">
        <v>56</v>
      </c>
      <c r="E26" s="9"/>
      <c r="F26" s="9"/>
    </row>
    <row r="27" spans="1:6" ht="55" customHeight="1">
      <c r="A27" s="7">
        <v>21</v>
      </c>
      <c r="B27" s="4" t="s">
        <v>54</v>
      </c>
      <c r="C27" s="4" t="s">
        <v>57</v>
      </c>
      <c r="D27" s="4" t="s">
        <v>58</v>
      </c>
      <c r="E27" s="9"/>
      <c r="F27" s="9"/>
    </row>
    <row r="28" spans="1:6" ht="55" customHeight="1">
      <c r="A28" s="8">
        <v>22</v>
      </c>
      <c r="B28" s="5" t="s">
        <v>54</v>
      </c>
      <c r="C28" s="5" t="s">
        <v>59</v>
      </c>
      <c r="D28" s="5" t="s">
        <v>60</v>
      </c>
      <c r="E28" s="9"/>
      <c r="F28" s="9"/>
    </row>
    <row r="29" spans="1:6" ht="55" customHeight="1">
      <c r="A29" s="7">
        <v>23</v>
      </c>
      <c r="B29" s="4" t="s">
        <v>61</v>
      </c>
      <c r="C29" s="4" t="s">
        <v>62</v>
      </c>
      <c r="D29" s="4" t="s">
        <v>63</v>
      </c>
      <c r="E29" s="9"/>
      <c r="F29" s="9"/>
    </row>
    <row r="30" spans="1:6" ht="55" customHeight="1">
      <c r="A30" s="8">
        <v>24</v>
      </c>
      <c r="B30" s="5" t="s">
        <v>61</v>
      </c>
      <c r="C30" s="5" t="s">
        <v>64</v>
      </c>
      <c r="D30" s="5" t="s">
        <v>65</v>
      </c>
      <c r="E30" s="9"/>
      <c r="F30" s="9"/>
    </row>
    <row r="31" spans="1:6" ht="55" customHeight="1">
      <c r="A31" s="7">
        <v>25</v>
      </c>
      <c r="B31" s="4" t="s">
        <v>66</v>
      </c>
      <c r="C31" s="4" t="s">
        <v>67</v>
      </c>
      <c r="D31" s="4" t="s">
        <v>68</v>
      </c>
      <c r="E31" s="9"/>
      <c r="F31" s="9"/>
    </row>
    <row r="32" spans="1:6" ht="55" customHeight="1">
      <c r="A32" s="8">
        <v>26</v>
      </c>
      <c r="B32" s="5" t="s">
        <v>66</v>
      </c>
      <c r="C32" s="5" t="s">
        <v>69</v>
      </c>
      <c r="D32" s="5" t="s">
        <v>70</v>
      </c>
      <c r="E32" s="9"/>
      <c r="F32" s="9"/>
    </row>
    <row r="33" spans="1:6" ht="55" customHeight="1">
      <c r="A33" s="7">
        <v>27</v>
      </c>
      <c r="B33" s="4" t="s">
        <v>66</v>
      </c>
      <c r="C33" s="4" t="s">
        <v>71</v>
      </c>
      <c r="D33" s="4" t="s">
        <v>72</v>
      </c>
      <c r="E33" s="9"/>
      <c r="F33" s="9"/>
    </row>
    <row r="34" spans="1:6" ht="55" customHeight="1">
      <c r="A34" s="8">
        <v>28</v>
      </c>
      <c r="B34" s="5" t="s">
        <v>66</v>
      </c>
      <c r="C34" s="5" t="s">
        <v>73</v>
      </c>
      <c r="D34" s="5" t="s">
        <v>74</v>
      </c>
      <c r="E34" s="9"/>
      <c r="F34" s="9"/>
    </row>
    <row r="35" spans="1:6" ht="55" customHeight="1">
      <c r="A35" s="7">
        <v>29</v>
      </c>
      <c r="B35" s="4" t="s">
        <v>75</v>
      </c>
      <c r="C35" s="4" t="s">
        <v>76</v>
      </c>
      <c r="D35" s="4" t="s">
        <v>77</v>
      </c>
      <c r="E35" s="9"/>
      <c r="F35" s="9"/>
    </row>
    <row r="36" spans="1:6" ht="55" customHeight="1">
      <c r="A36" s="8">
        <v>30</v>
      </c>
      <c r="B36" s="5" t="s">
        <v>75</v>
      </c>
      <c r="C36" s="5" t="s">
        <v>78</v>
      </c>
      <c r="D36" s="5" t="s">
        <v>79</v>
      </c>
      <c r="E36" s="9"/>
      <c r="F36" s="9"/>
    </row>
    <row r="37" spans="1:6" ht="55" customHeight="1">
      <c r="A37" s="7">
        <v>31</v>
      </c>
      <c r="B37" s="4" t="s">
        <v>75</v>
      </c>
      <c r="C37" s="4" t="s">
        <v>80</v>
      </c>
      <c r="D37" s="4" t="s">
        <v>81</v>
      </c>
      <c r="E37" s="9"/>
      <c r="F37" s="9"/>
    </row>
    <row r="38" spans="1:6" ht="55" customHeight="1">
      <c r="A38" s="8">
        <v>32</v>
      </c>
      <c r="B38" s="5" t="s">
        <v>75</v>
      </c>
      <c r="C38" s="5" t="s">
        <v>82</v>
      </c>
      <c r="D38" s="5" t="s">
        <v>83</v>
      </c>
      <c r="E38" s="9"/>
      <c r="F38" s="9"/>
    </row>
    <row r="39" spans="1:6" ht="55" customHeight="1">
      <c r="A39" s="7">
        <v>33</v>
      </c>
      <c r="B39" s="4" t="s">
        <v>84</v>
      </c>
      <c r="C39" s="4" t="s">
        <v>85</v>
      </c>
      <c r="D39" s="4" t="s">
        <v>86</v>
      </c>
      <c r="E39" s="9"/>
      <c r="F39" s="9"/>
    </row>
    <row r="40" spans="1:6" ht="55" customHeight="1">
      <c r="A40" s="8">
        <v>34</v>
      </c>
      <c r="B40" s="5" t="s">
        <v>84</v>
      </c>
      <c r="C40" s="5" t="s">
        <v>87</v>
      </c>
      <c r="D40" s="5" t="s">
        <v>88</v>
      </c>
      <c r="E40" s="9"/>
      <c r="F40" s="9"/>
    </row>
  </sheetData>
  <conditionalFormatting sqref="E7:E40">
    <cfRule type="containsText" dxfId="2" priority="1" operator="containsText" text="Hoàn thành"/>
  </conditionalFormatting>
  <dataValidations count="1">
    <dataValidation type="list" sqref="E7:E40" xr:uid="{00000000-0002-0000-0000-000000000000}">
      <formula1>"Chưa bắt đầu,Đang thực hiện,Chờ kiểm thử,Hoàn thành,Tạm dừng"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334155"/>
  </sheetPr>
  <dimension ref="A1:F18"/>
  <sheetViews>
    <sheetView showGridLines="0" topLeftCell="C1" zoomScale="63" zoomScaleNormal="63" workbookViewId="0">
      <pane ySplit="6" topLeftCell="A7" activePane="bottomLeft" state="frozen"/>
      <selection pane="bottomLeft" activeCell="E10" sqref="E10"/>
    </sheetView>
  </sheetViews>
  <sheetFormatPr defaultRowHeight="14"/>
  <cols>
    <col min="1" max="1" width="7" customWidth="1"/>
    <col min="2" max="2" width="23" customWidth="1"/>
    <col min="3" max="3" width="36" customWidth="1"/>
    <col min="4" max="4" width="79" customWidth="1"/>
    <col min="5" max="5" width="23" customWidth="1"/>
    <col min="6" max="6" width="30" customWidth="1"/>
  </cols>
  <sheetData>
    <row r="1" spans="1:6">
      <c r="A1" s="1"/>
      <c r="B1" s="1"/>
      <c r="C1" s="1"/>
      <c r="D1" s="1"/>
      <c r="E1" s="1"/>
      <c r="F1" s="1"/>
    </row>
    <row r="2" spans="1:6" ht="30" customHeight="1">
      <c r="A2" s="10" t="s">
        <v>89</v>
      </c>
      <c r="B2" s="1"/>
      <c r="C2" s="1"/>
      <c r="D2" s="1"/>
      <c r="E2" s="1"/>
      <c r="F2" s="1"/>
    </row>
    <row r="3" spans="1:6" ht="23" customHeight="1">
      <c r="A3" s="3" t="s">
        <v>1</v>
      </c>
      <c r="B3" s="3"/>
      <c r="C3" s="3"/>
      <c r="D3" s="3"/>
      <c r="E3" s="3"/>
      <c r="F3" s="3"/>
    </row>
    <row r="4" spans="1:6" ht="23" customHeight="1">
      <c r="A4" s="3" t="s">
        <v>90</v>
      </c>
      <c r="B4" s="3"/>
      <c r="C4" s="3"/>
      <c r="D4" s="3"/>
      <c r="E4" s="3"/>
      <c r="F4" s="3"/>
    </row>
    <row r="5" spans="1:6">
      <c r="A5" s="1"/>
      <c r="B5" s="1"/>
      <c r="C5" s="1"/>
      <c r="D5" s="1"/>
      <c r="E5" s="1"/>
      <c r="F5" s="1"/>
    </row>
    <row r="6" spans="1:6" ht="31" customHeight="1">
      <c r="A6" s="11" t="s">
        <v>3</v>
      </c>
      <c r="B6" s="11" t="s">
        <v>4</v>
      </c>
      <c r="C6" s="11" t="s">
        <v>5</v>
      </c>
      <c r="D6" s="11" t="s">
        <v>6</v>
      </c>
      <c r="E6" s="11" t="s">
        <v>7</v>
      </c>
      <c r="F6" s="11" t="s">
        <v>8</v>
      </c>
    </row>
    <row r="7" spans="1:6" ht="55" customHeight="1">
      <c r="A7" s="7">
        <v>1</v>
      </c>
      <c r="B7" s="4" t="s">
        <v>9</v>
      </c>
      <c r="C7" s="4" t="s">
        <v>91</v>
      </c>
      <c r="D7" s="4" t="s">
        <v>11</v>
      </c>
      <c r="E7" s="9" t="s">
        <v>184</v>
      </c>
      <c r="F7" s="9"/>
    </row>
    <row r="8" spans="1:6" ht="55" customHeight="1">
      <c r="A8" s="8">
        <v>2</v>
      </c>
      <c r="B8" s="5" t="s">
        <v>92</v>
      </c>
      <c r="C8" s="5" t="s">
        <v>93</v>
      </c>
      <c r="D8" s="5" t="s">
        <v>94</v>
      </c>
      <c r="E8" s="9" t="s">
        <v>182</v>
      </c>
      <c r="F8" s="9"/>
    </row>
    <row r="9" spans="1:6" ht="55" customHeight="1">
      <c r="A9" s="7">
        <v>3</v>
      </c>
      <c r="B9" s="4" t="s">
        <v>95</v>
      </c>
      <c r="C9" s="4" t="s">
        <v>96</v>
      </c>
      <c r="D9" s="4" t="s">
        <v>97</v>
      </c>
      <c r="E9" s="9" t="s">
        <v>183</v>
      </c>
      <c r="F9" s="9"/>
    </row>
    <row r="10" spans="1:6" ht="55" customHeight="1">
      <c r="A10" s="8">
        <v>4</v>
      </c>
      <c r="B10" s="5" t="s">
        <v>95</v>
      </c>
      <c r="C10" s="5" t="s">
        <v>98</v>
      </c>
      <c r="D10" s="5" t="s">
        <v>99</v>
      </c>
      <c r="E10" s="9"/>
      <c r="F10" s="9"/>
    </row>
    <row r="11" spans="1:6" ht="55" customHeight="1">
      <c r="A11" s="7">
        <v>5</v>
      </c>
      <c r="B11" s="4" t="s">
        <v>100</v>
      </c>
      <c r="C11" s="4" t="s">
        <v>101</v>
      </c>
      <c r="D11" s="4" t="s">
        <v>102</v>
      </c>
      <c r="E11" s="9"/>
      <c r="F11" s="9"/>
    </row>
    <row r="12" spans="1:6" ht="55" customHeight="1">
      <c r="A12" s="8">
        <v>6</v>
      </c>
      <c r="B12" s="5" t="s">
        <v>100</v>
      </c>
      <c r="C12" s="5" t="s">
        <v>103</v>
      </c>
      <c r="D12" s="5" t="s">
        <v>104</v>
      </c>
      <c r="E12" s="9"/>
      <c r="F12" s="9"/>
    </row>
    <row r="13" spans="1:6" ht="55" customHeight="1">
      <c r="A13" s="7">
        <v>7</v>
      </c>
      <c r="B13" s="4" t="s">
        <v>100</v>
      </c>
      <c r="C13" s="4" t="s">
        <v>105</v>
      </c>
      <c r="D13" s="4" t="s">
        <v>106</v>
      </c>
      <c r="E13" s="9"/>
      <c r="F13" s="9"/>
    </row>
    <row r="14" spans="1:6" ht="55" customHeight="1">
      <c r="A14" s="8">
        <v>8</v>
      </c>
      <c r="B14" s="5" t="s">
        <v>100</v>
      </c>
      <c r="C14" s="5" t="s">
        <v>107</v>
      </c>
      <c r="D14" s="5" t="s">
        <v>108</v>
      </c>
      <c r="E14" s="9"/>
      <c r="F14" s="9"/>
    </row>
    <row r="15" spans="1:6" ht="55" customHeight="1">
      <c r="A15" s="7">
        <v>9</v>
      </c>
      <c r="B15" s="4" t="s">
        <v>51</v>
      </c>
      <c r="C15" s="4" t="s">
        <v>109</v>
      </c>
      <c r="D15" s="4" t="s">
        <v>110</v>
      </c>
      <c r="E15" s="9"/>
      <c r="F15" s="9"/>
    </row>
    <row r="16" spans="1:6" ht="55" customHeight="1">
      <c r="A16" s="8">
        <v>10</v>
      </c>
      <c r="B16" s="5" t="s">
        <v>61</v>
      </c>
      <c r="C16" s="5" t="s">
        <v>111</v>
      </c>
      <c r="D16" s="5" t="s">
        <v>112</v>
      </c>
      <c r="E16" s="9"/>
      <c r="F16" s="9"/>
    </row>
    <row r="17" spans="1:6" ht="55" customHeight="1">
      <c r="A17" s="7">
        <v>11</v>
      </c>
      <c r="B17" s="4" t="s">
        <v>61</v>
      </c>
      <c r="C17" s="4" t="s">
        <v>113</v>
      </c>
      <c r="D17" s="4" t="s">
        <v>114</v>
      </c>
      <c r="E17" s="9"/>
      <c r="F17" s="9"/>
    </row>
    <row r="18" spans="1:6" ht="55" customHeight="1">
      <c r="A18" s="8">
        <v>12</v>
      </c>
      <c r="B18" s="5" t="s">
        <v>61</v>
      </c>
      <c r="C18" s="5" t="s">
        <v>115</v>
      </c>
      <c r="D18" s="5" t="s">
        <v>116</v>
      </c>
      <c r="E18" s="9"/>
      <c r="F18" s="9"/>
    </row>
  </sheetData>
  <conditionalFormatting sqref="E7:E18">
    <cfRule type="containsText" dxfId="1" priority="1" operator="containsText" text="Hoàn thành"/>
  </conditionalFormatting>
  <dataValidations count="1">
    <dataValidation type="list" sqref="E7:E18" xr:uid="{00000000-0002-0000-0100-000000000000}">
      <formula1>"Chưa bắt đầu,Đang thực hiện,Chờ kiểm thử,Hoàn thành,Tạm dừng"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D4ED8"/>
  </sheetPr>
  <dimension ref="A1:G34"/>
  <sheetViews>
    <sheetView showGridLines="0" zoomScale="47" zoomScaleNormal="47" workbookViewId="0">
      <pane ySplit="12" topLeftCell="A14" activePane="bottomLeft" state="frozen"/>
      <selection pane="bottomLeft" activeCell="G16" sqref="G16"/>
    </sheetView>
  </sheetViews>
  <sheetFormatPr defaultRowHeight="14"/>
  <cols>
    <col min="1" max="1" width="12" customWidth="1"/>
    <col min="2" max="2" width="10" customWidth="1"/>
    <col min="3" max="3" width="48" customWidth="1"/>
    <col min="4" max="4" width="26" customWidth="1"/>
    <col min="5" max="5" width="85" customWidth="1"/>
    <col min="6" max="6" width="13" customWidth="1"/>
    <col min="7" max="7" width="23" customWidth="1"/>
  </cols>
  <sheetData>
    <row r="1" spans="1:7">
      <c r="A1" s="1"/>
      <c r="B1" s="1"/>
      <c r="C1" s="1"/>
      <c r="D1" s="1"/>
      <c r="E1" s="1"/>
      <c r="F1" s="1"/>
      <c r="G1" s="1"/>
    </row>
    <row r="2" spans="1:7" ht="30" customHeight="1">
      <c r="A2" s="2" t="s">
        <v>117</v>
      </c>
      <c r="B2" s="1"/>
      <c r="C2" s="1"/>
      <c r="D2" s="1"/>
      <c r="E2" s="1"/>
      <c r="F2" s="1"/>
      <c r="G2" s="1"/>
    </row>
    <row r="3" spans="1:7">
      <c r="A3" s="1"/>
      <c r="B3" s="1"/>
      <c r="C3" s="1"/>
      <c r="D3" s="1"/>
      <c r="E3" s="1"/>
      <c r="F3" s="1"/>
      <c r="G3" s="1"/>
    </row>
    <row r="4" spans="1:7" ht="25" customHeight="1">
      <c r="A4" s="1" t="s">
        <v>118</v>
      </c>
      <c r="B4" s="12">
        <v>20</v>
      </c>
      <c r="C4" s="1" t="s">
        <v>119</v>
      </c>
      <c r="D4" s="13">
        <f>B4*B5</f>
        <v>320</v>
      </c>
      <c r="E4" s="1"/>
      <c r="F4" s="1"/>
      <c r="G4" s="1"/>
    </row>
    <row r="5" spans="1:7" ht="25" customHeight="1">
      <c r="A5" s="1" t="s">
        <v>120</v>
      </c>
      <c r="B5" s="13">
        <v>16</v>
      </c>
      <c r="C5" s="1" t="s">
        <v>121</v>
      </c>
      <c r="D5" s="13">
        <f>SUM(F13:F28)</f>
        <v>320</v>
      </c>
      <c r="E5" s="1"/>
      <c r="F5" s="1"/>
      <c r="G5" s="1"/>
    </row>
    <row r="6" spans="1:7">
      <c r="A6" s="1"/>
      <c r="B6" s="1"/>
      <c r="C6" s="1"/>
      <c r="D6" s="1"/>
      <c r="E6" s="1"/>
      <c r="F6" s="1"/>
      <c r="G6" s="1"/>
    </row>
    <row r="7" spans="1:7" ht="23" customHeight="1">
      <c r="A7" s="3" t="s">
        <v>122</v>
      </c>
      <c r="B7" s="3"/>
      <c r="C7" s="3"/>
      <c r="D7" s="3"/>
      <c r="E7" s="3"/>
      <c r="F7" s="3"/>
      <c r="G7" s="3"/>
    </row>
    <row r="8" spans="1:7" ht="23" customHeight="1">
      <c r="A8" s="3" t="s">
        <v>123</v>
      </c>
      <c r="B8" s="3"/>
      <c r="C8" s="3"/>
      <c r="D8" s="3"/>
      <c r="E8" s="3"/>
      <c r="F8" s="3"/>
      <c r="G8" s="3"/>
    </row>
    <row r="9" spans="1:7" ht="23" customHeight="1">
      <c r="A9" s="3" t="s">
        <v>124</v>
      </c>
      <c r="B9" s="3"/>
      <c r="C9" s="3"/>
      <c r="D9" s="3"/>
      <c r="E9" s="3"/>
      <c r="F9" s="3"/>
      <c r="G9" s="3"/>
    </row>
    <row r="10" spans="1:7" ht="23" customHeight="1">
      <c r="A10" s="3" t="s">
        <v>125</v>
      </c>
      <c r="B10" s="3"/>
      <c r="C10" s="3"/>
      <c r="D10" s="3"/>
      <c r="E10" s="3"/>
      <c r="F10" s="3"/>
      <c r="G10" s="3"/>
    </row>
    <row r="11" spans="1:7">
      <c r="A11" s="1"/>
      <c r="B11" s="1"/>
      <c r="C11" s="1"/>
      <c r="D11" s="1"/>
      <c r="E11" s="1"/>
      <c r="F11" s="1"/>
      <c r="G11" s="1"/>
    </row>
    <row r="12" spans="1:7" ht="33" customHeight="1">
      <c r="A12" s="16" t="s">
        <v>126</v>
      </c>
      <c r="B12" s="16" t="s">
        <v>127</v>
      </c>
      <c r="C12" s="16" t="s">
        <v>128</v>
      </c>
      <c r="D12" s="16" t="s">
        <v>129</v>
      </c>
      <c r="E12" s="16" t="s">
        <v>130</v>
      </c>
      <c r="F12" s="16" t="s">
        <v>131</v>
      </c>
      <c r="G12" s="16" t="s">
        <v>7</v>
      </c>
    </row>
    <row r="13" spans="1:7" ht="76" customHeight="1">
      <c r="A13" s="17">
        <v>1</v>
      </c>
      <c r="B13" s="17">
        <v>1</v>
      </c>
      <c r="C13" s="14" t="s">
        <v>132</v>
      </c>
      <c r="D13" s="14" t="s">
        <v>133</v>
      </c>
      <c r="E13" s="14" t="s">
        <v>134</v>
      </c>
      <c r="F13" s="19">
        <f t="shared" ref="F13:F28" si="0">$B$4</f>
        <v>20</v>
      </c>
      <c r="G13" s="21" t="s">
        <v>184</v>
      </c>
    </row>
    <row r="14" spans="1:7" ht="76" customHeight="1">
      <c r="A14" s="17">
        <v>1</v>
      </c>
      <c r="B14" s="17">
        <v>2</v>
      </c>
      <c r="C14" s="14" t="s">
        <v>135</v>
      </c>
      <c r="D14" s="14" t="s">
        <v>136</v>
      </c>
      <c r="E14" s="14" t="s">
        <v>137</v>
      </c>
      <c r="F14" s="19">
        <f t="shared" si="0"/>
        <v>20</v>
      </c>
      <c r="G14" s="21" t="s">
        <v>184</v>
      </c>
    </row>
    <row r="15" spans="1:7" ht="76" customHeight="1">
      <c r="A15" s="17">
        <v>1</v>
      </c>
      <c r="B15" s="17">
        <v>3</v>
      </c>
      <c r="C15" s="14" t="s">
        <v>138</v>
      </c>
      <c r="D15" s="14" t="s">
        <v>139</v>
      </c>
      <c r="E15" s="14" t="s">
        <v>140</v>
      </c>
      <c r="F15" s="19">
        <f t="shared" si="0"/>
        <v>20</v>
      </c>
      <c r="G15" s="21" t="s">
        <v>183</v>
      </c>
    </row>
    <row r="16" spans="1:7" ht="76" customHeight="1">
      <c r="A16" s="17">
        <v>1</v>
      </c>
      <c r="B16" s="17">
        <v>4</v>
      </c>
      <c r="C16" s="14" t="s">
        <v>141</v>
      </c>
      <c r="D16" s="14" t="s">
        <v>142</v>
      </c>
      <c r="E16" s="14" t="s">
        <v>143</v>
      </c>
      <c r="F16" s="19">
        <f t="shared" si="0"/>
        <v>20</v>
      </c>
      <c r="G16" s="21"/>
    </row>
    <row r="17" spans="1:7" ht="76" customHeight="1">
      <c r="A17" s="18">
        <v>2</v>
      </c>
      <c r="B17" s="18">
        <v>5</v>
      </c>
      <c r="C17" s="15" t="s">
        <v>144</v>
      </c>
      <c r="D17" s="15" t="s">
        <v>145</v>
      </c>
      <c r="E17" s="15" t="s">
        <v>146</v>
      </c>
      <c r="F17" s="20">
        <f t="shared" si="0"/>
        <v>20</v>
      </c>
      <c r="G17" s="21"/>
    </row>
    <row r="18" spans="1:7" ht="76" customHeight="1">
      <c r="A18" s="18">
        <v>2</v>
      </c>
      <c r="B18" s="18">
        <v>6</v>
      </c>
      <c r="C18" s="15" t="s">
        <v>147</v>
      </c>
      <c r="D18" s="15" t="s">
        <v>148</v>
      </c>
      <c r="E18" s="15" t="s">
        <v>149</v>
      </c>
      <c r="F18" s="20">
        <f t="shared" si="0"/>
        <v>20</v>
      </c>
      <c r="G18" s="21"/>
    </row>
    <row r="19" spans="1:7" ht="76" customHeight="1">
      <c r="A19" s="18">
        <v>2</v>
      </c>
      <c r="B19" s="18">
        <v>7</v>
      </c>
      <c r="C19" s="15" t="s">
        <v>150</v>
      </c>
      <c r="D19" s="15" t="s">
        <v>151</v>
      </c>
      <c r="E19" s="15" t="s">
        <v>152</v>
      </c>
      <c r="F19" s="20">
        <f t="shared" si="0"/>
        <v>20</v>
      </c>
      <c r="G19" s="21"/>
    </row>
    <row r="20" spans="1:7" ht="76" customHeight="1">
      <c r="A20" s="18">
        <v>2</v>
      </c>
      <c r="B20" s="18">
        <v>8</v>
      </c>
      <c r="C20" s="15" t="s">
        <v>153</v>
      </c>
      <c r="D20" s="15" t="s">
        <v>154</v>
      </c>
      <c r="E20" s="15" t="s">
        <v>155</v>
      </c>
      <c r="F20" s="20">
        <f t="shared" si="0"/>
        <v>20</v>
      </c>
      <c r="G20" s="21"/>
    </row>
    <row r="21" spans="1:7" ht="76" customHeight="1">
      <c r="A21" s="17">
        <v>3</v>
      </c>
      <c r="B21" s="17">
        <v>9</v>
      </c>
      <c r="C21" s="14" t="s">
        <v>156</v>
      </c>
      <c r="D21" s="14" t="s">
        <v>157</v>
      </c>
      <c r="E21" s="14" t="s">
        <v>158</v>
      </c>
      <c r="F21" s="19">
        <f t="shared" si="0"/>
        <v>20</v>
      </c>
      <c r="G21" s="21"/>
    </row>
    <row r="22" spans="1:7" ht="76" customHeight="1">
      <c r="A22" s="17">
        <v>3</v>
      </c>
      <c r="B22" s="17">
        <v>10</v>
      </c>
      <c r="C22" s="14" t="s">
        <v>159</v>
      </c>
      <c r="D22" s="14" t="s">
        <v>160</v>
      </c>
      <c r="E22" s="14" t="s">
        <v>161</v>
      </c>
      <c r="F22" s="19">
        <f t="shared" si="0"/>
        <v>20</v>
      </c>
      <c r="G22" s="21"/>
    </row>
    <row r="23" spans="1:7" ht="76" customHeight="1">
      <c r="A23" s="17">
        <v>3</v>
      </c>
      <c r="B23" s="17">
        <v>11</v>
      </c>
      <c r="C23" s="14" t="s">
        <v>162</v>
      </c>
      <c r="D23" s="14" t="s">
        <v>163</v>
      </c>
      <c r="E23" s="14" t="s">
        <v>164</v>
      </c>
      <c r="F23" s="19">
        <f t="shared" si="0"/>
        <v>20</v>
      </c>
      <c r="G23" s="21"/>
    </row>
    <row r="24" spans="1:7" ht="76" customHeight="1">
      <c r="A24" s="17">
        <v>3</v>
      </c>
      <c r="B24" s="17">
        <v>12</v>
      </c>
      <c r="C24" s="14" t="s">
        <v>165</v>
      </c>
      <c r="D24" s="14" t="s">
        <v>166</v>
      </c>
      <c r="E24" s="14" t="s">
        <v>167</v>
      </c>
      <c r="F24" s="19">
        <f t="shared" si="0"/>
        <v>20</v>
      </c>
      <c r="G24" s="21"/>
    </row>
    <row r="25" spans="1:7" ht="76" customHeight="1">
      <c r="A25" s="18">
        <v>4</v>
      </c>
      <c r="B25" s="18">
        <v>13</v>
      </c>
      <c r="C25" s="15" t="s">
        <v>168</v>
      </c>
      <c r="D25" s="15" t="s">
        <v>169</v>
      </c>
      <c r="E25" s="15" t="s">
        <v>170</v>
      </c>
      <c r="F25" s="20">
        <f t="shared" si="0"/>
        <v>20</v>
      </c>
      <c r="G25" s="21"/>
    </row>
    <row r="26" spans="1:7" ht="76" customHeight="1">
      <c r="A26" s="18">
        <v>4</v>
      </c>
      <c r="B26" s="18">
        <v>14</v>
      </c>
      <c r="C26" s="15" t="s">
        <v>171</v>
      </c>
      <c r="D26" s="15" t="s">
        <v>172</v>
      </c>
      <c r="E26" s="15" t="s">
        <v>173</v>
      </c>
      <c r="F26" s="20">
        <f t="shared" si="0"/>
        <v>20</v>
      </c>
      <c r="G26" s="21"/>
    </row>
    <row r="27" spans="1:7" ht="76" customHeight="1">
      <c r="A27" s="18">
        <v>4</v>
      </c>
      <c r="B27" s="18">
        <v>15</v>
      </c>
      <c r="C27" s="15" t="s">
        <v>174</v>
      </c>
      <c r="D27" s="15" t="s">
        <v>175</v>
      </c>
      <c r="E27" s="15" t="s">
        <v>176</v>
      </c>
      <c r="F27" s="20">
        <f t="shared" si="0"/>
        <v>20</v>
      </c>
      <c r="G27" s="21"/>
    </row>
    <row r="28" spans="1:7" ht="76" customHeight="1">
      <c r="A28" s="18">
        <v>4</v>
      </c>
      <c r="B28" s="18">
        <v>16</v>
      </c>
      <c r="C28" s="15" t="s">
        <v>177</v>
      </c>
      <c r="D28" s="15" t="s">
        <v>175</v>
      </c>
      <c r="E28" s="15" t="s">
        <v>178</v>
      </c>
      <c r="F28" s="20">
        <f t="shared" si="0"/>
        <v>20</v>
      </c>
      <c r="G28" s="21"/>
    </row>
    <row r="29" spans="1:7">
      <c r="A29" s="1"/>
      <c r="B29" s="1"/>
      <c r="C29" s="1"/>
      <c r="D29" s="1"/>
      <c r="E29" s="1"/>
      <c r="F29" s="1"/>
      <c r="G29" s="1"/>
    </row>
    <row r="30" spans="1:7" ht="24" customHeight="1">
      <c r="A30" s="3" t="s">
        <v>179</v>
      </c>
      <c r="B30" s="3"/>
      <c r="C30" s="3"/>
      <c r="D30" s="3"/>
      <c r="E30" s="3"/>
      <c r="F30" s="3"/>
      <c r="G30" s="3"/>
    </row>
    <row r="31" spans="1:7" ht="24" customHeight="1">
      <c r="A31" s="3" t="s">
        <v>180</v>
      </c>
      <c r="B31" s="3"/>
      <c r="C31" s="3"/>
      <c r="D31" s="3"/>
      <c r="E31" s="3"/>
      <c r="F31" s="3"/>
      <c r="G31" s="3"/>
    </row>
    <row r="32" spans="1:7" ht="24" customHeight="1">
      <c r="A32" s="3" t="s">
        <v>181</v>
      </c>
      <c r="B32" s="3"/>
      <c r="C32" s="3"/>
      <c r="D32" s="3"/>
      <c r="E32" s="3"/>
      <c r="F32" s="3"/>
      <c r="G32" s="3"/>
    </row>
    <row r="33" spans="1:7">
      <c r="A33" s="1"/>
      <c r="B33" s="1"/>
      <c r="C33" s="1"/>
      <c r="D33" s="1"/>
      <c r="E33" s="1"/>
      <c r="F33" s="1"/>
      <c r="G33" s="1"/>
    </row>
    <row r="34" spans="1:7">
      <c r="A34" s="1"/>
      <c r="B34" s="1"/>
      <c r="C34" s="1"/>
      <c r="D34" s="1"/>
      <c r="E34" s="1"/>
      <c r="F34" s="1"/>
      <c r="G34" s="1"/>
    </row>
  </sheetData>
  <conditionalFormatting sqref="G13:G28">
    <cfRule type="containsText" dxfId="0" priority="1" operator="containsText" text="Hoàn thành"/>
  </conditionalFormatting>
  <dataValidations count="2">
    <dataValidation type="whole" sqref="B4" xr:uid="{00000000-0002-0000-0200-000000000000}">
      <formula1>1</formula1>
      <formula2>40</formula2>
    </dataValidation>
    <dataValidation type="list" sqref="G13:G28" xr:uid="{00000000-0002-0000-0200-000001000000}">
      <formula1>"Chưa bắt đầu,Đang thực hiện,Chờ kiểm thử,Hoàn thành,Tạm dừng"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Người dùng</vt:lpstr>
      <vt:lpstr>Admin</vt:lpstr>
      <vt:lpstr>Kế hoạch 4 tháng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Nguyen Van Chung D23CN14</cp:lastModifiedBy>
  <dcterms:modified xsi:type="dcterms:W3CDTF">2026-10-14T06:17:38Z</dcterms:modified>
</cp:coreProperties>
</file>